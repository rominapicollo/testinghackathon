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· Instrucciones" sheetId="1" state="visible" r:id="rId3"/>
    <sheet name="01 · Hallazgos" sheetId="2" state="visible" r:id="rId4"/>
    <sheet name="02 · Rúbrica" sheetId="3" state="visible" r:id="rId5"/>
    <sheet name="03 · Dashboard" sheetId="4" state="visible" r:id="rId6"/>
    <sheet name="04 · Decisión GO-NO-GO" sheetId="5" state="visible" r:id="rId7"/>
    <sheet name="05 · Backlog P0-P1-P2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<sst xmlns="http://schemas.openxmlformats.org/spreadsheetml/2006/main" count="209" uniqueCount="176">
  <si>
    <t xml:space="preserve">Hackathon de Testing · Account Plan ABE v9</t>
  </si>
  <si>
    <t xml:space="preserve">Planilla única de hallazgos · 1h 15min · 1 squad = 1 equipo · Programador en vivo</t>
  </si>
  <si>
    <t xml:space="preserve">Cómo usar esta planilla</t>
  </si>
  <si>
    <t xml:space="preserve">1</t>
  </si>
  <si>
    <t xml:space="preserve">Cada squad (equipo) carga sus hallazgos en la hoja '02 · Hallazgos'. Una fila por hallazgo.</t>
  </si>
  <si>
    <t xml:space="preserve">2</t>
  </si>
  <si>
    <t xml:space="preserve">El ID sigue el formato T{n° squad}-{correlativo}. Ej: T1-01, T1-02, T2-01…</t>
  </si>
  <si>
    <t xml:space="preserve">3</t>
  </si>
  <si>
    <t xml:space="preserve">Completar todos los campos obligatorios. El campo 'Severidad' usa dropdown — respetar la rúbrica de la hoja '03 · Rúbrica'.</t>
  </si>
  <si>
    <t xml:space="preserve">4</t>
  </si>
  <si>
    <t xml:space="preserve">El scriba deduplica al cierre: si dos squads reportan lo mismo, se unifica en un solo hallazgo con ambos IDs (ej: T1-07 / T3-12).</t>
  </si>
  <si>
    <t xml:space="preserve">5</t>
  </si>
  <si>
    <t xml:space="preserve">Durante los 3 pitstops, los equipos no cargan nada nuevo — pausa para que el programador reciba el batch y empiece a arreglar.</t>
  </si>
  <si>
    <t xml:space="preserve">6</t>
  </si>
  <si>
    <t xml:space="preserve">En el Bloque 3 (retest), los equipos actualizan el 'Estado' de los hallazgos ya fixados: 'Verificado · fix OK' o 'Verificado · fix incompleto'.</t>
  </si>
  <si>
    <t xml:space="preserve">7</t>
  </si>
  <si>
    <t xml:space="preserve">La hoja '04 · Dashboard' se actualiza sola — sirve de guía durante la votación final.</t>
  </si>
  <si>
    <t xml:space="preserve">8</t>
  </si>
  <si>
    <t xml:space="preserve">La hoja '05 · Decisión GO-NO-GO' se completa en el Bloque 4 con el voto de cada squad y el backlog priorizado.</t>
  </si>
  <si>
    <t xml:space="preserve">Agenda del hackathon (75 min)</t>
  </si>
  <si>
    <t xml:space="preserve">#</t>
  </si>
  <si>
    <t xml:space="preserve">Bloque</t>
  </si>
  <si>
    <t xml:space="preserve">Duración</t>
  </si>
  <si>
    <t xml:space="preserve">Descripción</t>
  </si>
  <si>
    <t xml:space="preserve">0</t>
  </si>
  <si>
    <t xml:space="preserve">Kickoff</t>
  </si>
  <si>
    <t xml:space="preserve">5 min</t>
  </si>
  <si>
    <t xml:space="preserve">Contexto, objetivo, reglas, presentación de equipos</t>
  </si>
  <si>
    <t xml:space="preserve">Smoke Test común</t>
  </si>
  <si>
    <t xml:space="preserve">8 min</t>
  </si>
  <si>
    <t xml:space="preserve">6 steps básicos para verificar que todo carga y calibrar severidad</t>
  </si>
  <si>
    <t xml:space="preserve">🔧</t>
  </si>
  <si>
    <t xml:space="preserve">Pitstop 1</t>
  </si>
  <si>
    <t xml:space="preserve">4 min</t>
  </si>
  <si>
    <t xml:space="preserve">Scriba consolida. Programador recibe Batch 1 y arranca fixes.</t>
  </si>
  <si>
    <t xml:space="preserve">Script · Primera mitad</t>
  </si>
  <si>
    <t xml:space="preserve">18 min</t>
  </si>
  <si>
    <t xml:space="preserve">Secciones 01-05: Ficha, Squad, Contexto, Métricas, Nómina</t>
  </si>
  <si>
    <t xml:space="preserve">Pitstop 2</t>
  </si>
  <si>
    <t xml:space="preserve">Programador entrega Batch 1 terminado, recibe Batch 2</t>
  </si>
  <si>
    <t xml:space="preserve">Script · Segunda mitad + Retest</t>
  </si>
  <si>
    <t xml:space="preserve">20 min</t>
  </si>
  <si>
    <t xml:space="preserve">Secciones 06-11 + retest de fixes del Batch 1</t>
  </si>
  <si>
    <t xml:space="preserve">Pitstop 3</t>
  </si>
  <si>
    <t xml:space="preserve">3 min</t>
  </si>
  <si>
    <t xml:space="preserve">Último batch entregado. Scriba cierra planilla.</t>
  </si>
  <si>
    <t xml:space="preserve">Cierre · GO/NO-GO + Backlog</t>
  </si>
  <si>
    <t xml:space="preserve">12 min</t>
  </si>
  <si>
    <t xml:space="preserve">Votación y consolidación final del backlog P0/P1/P2</t>
  </si>
  <si>
    <t xml:space="preserve">Hallazgos del hackathon</t>
  </si>
  <si>
    <t xml:space="preserve">Una fila por hallazgo · el scriba deduplica al cierre · severidad según rúbrica (hoja 03)</t>
  </si>
  <si>
    <t xml:space="preserve">↓ Ejemplos en gris para referencia — borrar antes del hackathon ↓</t>
  </si>
  <si>
    <t xml:space="preserve">ID</t>
  </si>
  <si>
    <t xml:space="preserve">Squad (equipo)</t>
  </si>
  <si>
    <t xml:space="preserve">Sección</t>
  </si>
  <si>
    <t xml:space="preserve">Tipo</t>
  </si>
  <si>
    <t xml:space="preserve">Pasos para reproducir</t>
  </si>
  <si>
    <t xml:space="preserve">Severidad</t>
  </si>
  <si>
    <t xml:space="preserve">Impacto</t>
  </si>
  <si>
    <t xml:space="preserve">Estado</t>
  </si>
  <si>
    <t xml:space="preserve">Asignado a</t>
  </si>
  <si>
    <t xml:space="preserve">Notas</t>
  </si>
  <si>
    <t xml:space="preserve">T1-01</t>
  </si>
  <si>
    <t xml:space="preserve">Squad FS · Cuenta Aerolínea Patria</t>
  </si>
  <si>
    <t xml:space="preserve">Transversal</t>
  </si>
  <si>
    <t xml:space="preserve">Bug</t>
  </si>
  <si>
    <t xml:space="preserve">Al hacer F5 en medio de cargar el plan, se pierden todos los datos ingresados</t>
  </si>
  <si>
    <t xml:space="preserve">Cargar Ficha + Métricas → F5 → volver a Ficha</t>
  </si>
  <si>
    <t xml:space="preserve">🔴 Bloqueador</t>
  </si>
  <si>
    <t xml:space="preserve">Squad pierde 30 min de trabajo si se cierra el tab sin querer</t>
  </si>
  <si>
    <t xml:space="preserve">Abierto</t>
  </si>
  <si>
    <t xml:space="preserve">Pendiente</t>
  </si>
  <si>
    <t xml:space="preserve">Fix estructural, probable P0</t>
  </si>
  <si>
    <t xml:space="preserve">T1-02</t>
  </si>
  <si>
    <t xml:space="preserve">04 · Métricas</t>
  </si>
  <si>
    <t xml:space="preserve">Inconsistencia</t>
  </si>
  <si>
    <t xml:space="preserve">DPRR del header no se actualiza cuando se editan renta/costo en Nómina, solo al tocar Revenue/Margen en Métricas</t>
  </si>
  <si>
    <t xml:space="preserve">Métricas → Revenue=100k → Nómina → cambiar renta → volver al header</t>
  </si>
  <si>
    <t xml:space="preserve">🟠 Mayor</t>
  </si>
  <si>
    <t xml:space="preserve">Squad puede presentar un DPRR desactualizado en QBR</t>
  </si>
  <si>
    <t xml:space="preserve">En fix</t>
  </si>
  <si>
    <t xml:space="preserve">Juan</t>
  </si>
  <si>
    <t xml:space="preserve">—</t>
  </si>
  <si>
    <t xml:space="preserve">T1-03</t>
  </si>
  <si>
    <t xml:space="preserve">05 · Nómina</t>
  </si>
  <si>
    <t xml:space="preserve">UX</t>
  </si>
  <si>
    <t xml:space="preserve">Las opciones 'Crítico (30-40%)' y 'Estable (30-40%)' tienen el mismo rango en el selector de tipo de margen</t>
  </si>
  <si>
    <t xml:space="preserve">Nómina → columna 'Tipo margen' → abrir dropdown</t>
  </si>
  <si>
    <t xml:space="preserve">🟡 Menor</t>
  </si>
  <si>
    <t xml:space="preserve">Ambigüedad al clasificar — dos Acidians con mismo margen pueden quedar en categorías distintas</t>
  </si>
  <si>
    <t xml:space="preserve">Verificado · fix OK</t>
  </si>
  <si>
    <t xml:space="preserve">Fix aplicado 11:42 — ranges ajustados a ≥40 / 30-40 / 20-30 / &lt;20</t>
  </si>
  <si>
    <t xml:space="preserve">Rúbrica de severidad y decisión GO/NO-GO</t>
  </si>
  <si>
    <t xml:space="preserve">Consultar antes de clasificar un hallazgo y antes de votar al cierre</t>
  </si>
  <si>
    <t xml:space="preserve">Niveles de severidad</t>
  </si>
  <si>
    <t xml:space="preserve">Nivel</t>
  </si>
  <si>
    <t xml:space="preserve">Definición</t>
  </si>
  <si>
    <t xml:space="preserve">Impide usar el prototipo, o produce un dato incorrecto que puede tomarse como verdad.</t>
  </si>
  <si>
    <t xml:space="preserve">DPRR mal calculado · sección que no carga · pérdida de datos al refrescar</t>
  </si>
  <si>
    <t xml:space="preserve">Se puede trabajar alrededor, pero genera fricción significativa o riesgo de error humano.</t>
  </si>
  <si>
    <t xml:space="preserve">Doble captura de dato · falta de validación numérica · inconsistencia entre secciones</t>
  </si>
  <si>
    <t xml:space="preserve">Incomoda pero no compromete el uso. Cosmético o editorial.</t>
  </si>
  <si>
    <t xml:space="preserve">Placeholder genérico · sigla sin definir · alineación de columnas</t>
  </si>
  <si>
    <t xml:space="preserve">🟢 Nice-to-have</t>
  </si>
  <si>
    <t xml:space="preserve">Mejora de ambición, no de corrección.</t>
  </si>
  <si>
    <t xml:space="preserve">Autocompletar desde CRM · resumen ejecutivo generado · export PDF</t>
  </si>
  <si>
    <t xml:space="preserve">Rúbrica para votar GO</t>
  </si>
  <si>
    <t xml:space="preserve">Cada squad, antes de votar, se pregunta honestamente:</t>
  </si>
  <si>
    <t xml:space="preserve">Criterio</t>
  </si>
  <si>
    <t xml:space="preserve">Bloqueadores sin resolver al final del hackathon</t>
  </si>
  <si>
    <t xml:space="preserve">Mayores sin resolver</t>
  </si>
  <si>
    <t xml:space="preserve">≤ 5 con workaround aceptable</t>
  </si>
  <si>
    <t xml:space="preserve">Secciones completables end-to-end sin tutorial</t>
  </si>
  <si>
    <t xml:space="preserve">≥ 10 de 12</t>
  </si>
  <si>
    <t xml:space="preserve">¿Lo usarías el lunes con tu cuenta real sin avergonzarte?</t>
  </si>
  <si>
    <t xml:space="preserve">Sí</t>
  </si>
  <si>
    <t xml:space="preserve">Resultados posibles</t>
  </si>
  <si>
    <t xml:space="preserve">✅ GO LIVE</t>
  </si>
  <si>
    <t xml:space="preserve">Todos los squads votan GO. Arranca piloto con 2–3 cuentas reales.</t>
  </si>
  <si>
    <t xml:space="preserve">🟡 GO CONDICIONAL</t>
  </si>
  <si>
    <t xml:space="preserve">Mayoría GO pero queda backlog P0. Se cierra lista corta con dueño y fecha; una vez resuelto habilita el piloto sin nuevo hackathon.</t>
  </si>
  <si>
    <t xml:space="preserve">🔴 NO-GO</t>
  </si>
  <si>
    <t xml:space="preserve">Mayoría NO-GO, o &gt;3 bloqueadores abiertos. Vuelve a diseño. Nuevo hackathon en 2 semanas.</t>
  </si>
  <si>
    <t xml:space="preserve">⚠ Veto técnico: un solo equipo puede forzar GO CONDICIONAL si tiene un bloqueador argumentado con pasos reproducibles. No se vota por encima de un hallazgo técnico sólido.</t>
  </si>
  <si>
    <t xml:space="preserve">Dashboard de hallazgos</t>
  </si>
  <si>
    <t xml:space="preserve">Conteos automáticos · se actualiza al cargar hallazgos en la hoja 01</t>
  </si>
  <si>
    <t xml:space="preserve">Total de hallazgos</t>
  </si>
  <si>
    <t xml:space="preserve">Total reportados</t>
  </si>
  <si>
    <t xml:space="preserve">Por severidad</t>
  </si>
  <si>
    <t xml:space="preserve">Por squad</t>
  </si>
  <si>
    <t xml:space="preserve">Squad</t>
  </si>
  <si>
    <t xml:space="preserve">Reportados</t>
  </si>
  <si>
    <t xml:space="preserve">(Squad 1: editar nombre)</t>
  </si>
  <si>
    <t xml:space="preserve">(Squad 2: editar nombre)</t>
  </si>
  <si>
    <t xml:space="preserve">(Squad 3: editar nombre)</t>
  </si>
  <si>
    <t xml:space="preserve">(Squad 4: editar nombre)</t>
  </si>
  <si>
    <t xml:space="preserve">Por estado</t>
  </si>
  <si>
    <t xml:space="preserve">(Squad 5: editar nombre)</t>
  </si>
  <si>
    <t xml:space="preserve">(Squad 6: editar nombre)</t>
  </si>
  <si>
    <t xml:space="preserve">Verificado · fix incompleto</t>
  </si>
  <si>
    <t xml:space="preserve">Descartado</t>
  </si>
  <si>
    <t xml:space="preserve">Por sección del prototipo</t>
  </si>
  <si>
    <t xml:space="preserve">00 · Guía</t>
  </si>
  <si>
    <t xml:space="preserve">01 · Ficha</t>
  </si>
  <si>
    <t xml:space="preserve">02 · Squad</t>
  </si>
  <si>
    <t xml:space="preserve">03 · Contexto</t>
  </si>
  <si>
    <t xml:space="preserve">06 · Contrapartes</t>
  </si>
  <si>
    <t xml:space="preserve">07 · Churn</t>
  </si>
  <si>
    <t xml:space="preserve">08 · Expansión</t>
  </si>
  <si>
    <t xml:space="preserve">09 · Salud</t>
  </si>
  <si>
    <t xml:space="preserve">10 · Stack</t>
  </si>
  <si>
    <t xml:space="preserve">11 · Competencia</t>
  </si>
  <si>
    <t xml:space="preserve">Decisión final · Bloque 4</t>
  </si>
  <si>
    <t xml:space="preserve">Se completa durante los últimos 12 min del hackathon</t>
  </si>
  <si>
    <t xml:space="preserve">Voto por squad</t>
  </si>
  <si>
    <t xml:space="preserve">Voto</t>
  </si>
  <si>
    <t xml:space="preserve">Fundamento (1 línea)</t>
  </si>
  <si>
    <t xml:space="preserve">Decisión consolidada</t>
  </si>
  <si>
    <t xml:space="preserve">(Facilitador registra decisión final aquí)</t>
  </si>
  <si>
    <t xml:space="preserve">Decisión final</t>
  </si>
  <si>
    <t xml:space="preserve">Fecha</t>
  </si>
  <si>
    <t xml:space="preserve">Próximo hito</t>
  </si>
  <si>
    <t xml:space="preserve">Dueño del backlog P0</t>
  </si>
  <si>
    <t xml:space="preserve">Backlog consolidado post-hackathon</t>
  </si>
  <si>
    <t xml:space="preserve">Se completa en los últimos 10 min · agrupa hallazgos abiertos al cierre</t>
  </si>
  <si>
    <t xml:space="preserve">Prioridad</t>
  </si>
  <si>
    <t xml:space="preserve">ID(s) origen</t>
  </si>
  <si>
    <t xml:space="preserve">Dueño</t>
  </si>
  <si>
    <t xml:space="preserve">Fecha objetivo</t>
  </si>
  <si>
    <t xml:space="preserve">Sprint</t>
  </si>
  <si>
    <t xml:space="preserve">P0 · Pre-launch</t>
  </si>
  <si>
    <t xml:space="preserve">Obligatorios antes del piloto — sin esto no hay GO LIVE</t>
  </si>
  <si>
    <t xml:space="preserve">P1 · Sprint 1</t>
  </si>
  <si>
    <t xml:space="preserve">Primeras 2 semanas post-launch</t>
  </si>
  <si>
    <t xml:space="preserve">P2 · Backlog</t>
  </si>
  <si>
    <t xml:space="preserve">Todo lo demás, sin fecha crítica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</si>
</sst>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A2E"/>
      <name val="Arial"/>
      <family val="0"/>
      <charset val="1"/>
    </font>
    <font>
      <i val="true"/>
      <sz val="11"/>
      <color rgb="FF6E6E73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10"/>
      <color rgb="FF1D1D1F"/>
      <name val="Arial"/>
      <family val="0"/>
      <charset val="1"/>
    </font>
    <font>
      <sz val="10"/>
      <color rgb="FF1D1D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E6E73"/>
      <name val="Arial"/>
      <family val="0"/>
      <charset val="1"/>
    </font>
    <font>
      <i val="true"/>
      <sz val="10"/>
      <color rgb="FFC0392B"/>
      <name val="Arial"/>
      <family val="0"/>
      <charset val="1"/>
    </font>
    <font>
      <b val="true"/>
      <sz val="16"/>
      <color rgb="FF1A1A2E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b val="true"/>
      <sz val="11"/>
      <color rgb="FFBA7517"/>
      <name val="Arial"/>
      <family val="0"/>
      <charset val="1"/>
    </font>
    <font>
      <b val="true"/>
      <sz val="11"/>
      <color rgb="FFB8860B"/>
      <name val="Arial"/>
      <family val="0"/>
      <charset val="1"/>
    </font>
    <font>
      <b val="true"/>
      <sz val="11"/>
      <color rgb="FF1D9E75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1"/>
      <color rgb="FF6E6E7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1D1D1F"/>
      </patternFill>
    </fill>
    <fill>
      <patternFill patternType="solid">
        <fgColor rgb="FFFFF5E6"/>
        <bgColor rgb="FFFFF9E6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FFF9E6"/>
        <bgColor rgb="FFFFF5E6"/>
      </patternFill>
    </fill>
    <fill>
      <patternFill patternType="solid">
        <fgColor rgb="FFE1F5EE"/>
        <bgColor rgb="FFF5F5F7"/>
      </patternFill>
    </fill>
    <fill>
      <patternFill patternType="solid">
        <fgColor rgb="FFFFFFFF"/>
        <bgColor rgb="FFFFF9E6"/>
      </patternFill>
    </fill>
    <fill>
      <patternFill patternType="solid">
        <fgColor rgb="FFF5F5F7"/>
        <bgColor rgb="FFFFF5E6"/>
      </patternFill>
    </fill>
    <fill>
      <patternFill patternType="solid">
        <fgColor rgb="FFC0392B"/>
        <bgColor rgb="FF993366"/>
      </patternFill>
    </fill>
    <fill>
      <patternFill patternType="solid">
        <fgColor rgb="FFBA7517"/>
        <bgColor rgb="FFB8860B"/>
      </patternFill>
    </fill>
    <fill>
      <patternFill patternType="solid">
        <fgColor rgb="FF6E6E73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4"/>
      </left>
      <right style="thin">
        <color rgb="FFE0E0E4"/>
      </right>
      <top style="thin">
        <color rgb="FFE0E0E4"/>
      </top>
      <bottom style="thin">
        <color rgb="FFE0E0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CEBEB"/>
        </patternFill>
      </fill>
    </dxf>
    <dxf>
      <fill>
        <patternFill>
          <bgColor rgb="FFFAEEDA"/>
        </patternFill>
      </fill>
    </dxf>
    <dxf>
      <fill>
        <patternFill>
          <bgColor rgb="FFFFF9E6"/>
        </patternFill>
      </fill>
    </dxf>
    <dxf>
      <fill>
        <patternFill>
          <bgColor rgb="FFE1F5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9E6"/>
      <rgbColor rgb="FFE1F5EE"/>
      <rgbColor rgb="FF660066"/>
      <rgbColor rgb="FFFF8080"/>
      <rgbColor rgb="FF0066CC"/>
      <rgbColor rgb="FFE0E0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7"/>
      <rgbColor rgb="FFFFF5E6"/>
      <rgbColor rgb="FFFAEEDA"/>
      <rgbColor rgb="FF99CCFF"/>
      <rgbColor rgb="FFFF99CC"/>
      <rgbColor rgb="FFCC99FF"/>
      <rgbColor rgb="FFFCEBEB"/>
      <rgbColor rgb="FF3366FF"/>
      <rgbColor rgb="FF33CCCC"/>
      <rgbColor rgb="FF99CC00"/>
      <rgbColor rgb="FFFFCC00"/>
      <rgbColor rgb="FFFF9900"/>
      <rgbColor rgb="FFBA7517"/>
      <rgbColor rgb="FF6E6E73"/>
      <rgbColor rgb="FF969696"/>
      <rgbColor rgb="FF003366"/>
      <rgbColor rgb="FF1D9E75"/>
      <rgbColor rgb="FF003300"/>
      <rgbColor rgb="FF1A1A2E"/>
      <rgbColor rgb="FFC0392B"/>
      <rgbColor rgb="FF993366"/>
      <rgbColor rgb="FF333399"/>
      <rgbColor rgb="FF1D1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8" min="5" style="0" width="15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  <c r="H5" s="3"/>
    </row>
    <row r="7" customFormat="false" ht="30" hidden="false" customHeight="true" outlineLevel="0" collapsed="false">
      <c r="B7" s="4" t="s">
        <v>3</v>
      </c>
      <c r="C7" s="5" t="s">
        <v>4</v>
      </c>
      <c r="D7" s="5"/>
      <c r="E7" s="5"/>
      <c r="F7" s="5"/>
      <c r="G7" s="5"/>
      <c r="H7" s="5"/>
    </row>
    <row r="8" customFormat="false" ht="30" hidden="false" customHeight="true" outlineLevel="0" collapsed="false">
      <c r="B8" s="4" t="s">
        <v>5</v>
      </c>
      <c r="C8" s="5" t="s">
        <v>6</v>
      </c>
      <c r="D8" s="5"/>
      <c r="E8" s="5"/>
      <c r="F8" s="5"/>
      <c r="G8" s="5"/>
      <c r="H8" s="5"/>
    </row>
    <row r="9" customFormat="false" ht="30" hidden="false" customHeight="true" outlineLevel="0" collapsed="false">
      <c r="B9" s="4" t="s">
        <v>7</v>
      </c>
      <c r="C9" s="5" t="s">
        <v>8</v>
      </c>
      <c r="D9" s="5"/>
      <c r="E9" s="5"/>
      <c r="F9" s="5"/>
      <c r="G9" s="5"/>
      <c r="H9" s="5"/>
    </row>
    <row r="10" customFormat="false" ht="30" hidden="false" customHeight="true" outlineLevel="0" collapsed="false">
      <c r="B10" s="4" t="s">
        <v>9</v>
      </c>
      <c r="C10" s="5" t="s">
        <v>10</v>
      </c>
      <c r="D10" s="5"/>
      <c r="E10" s="5"/>
      <c r="F10" s="5"/>
      <c r="G10" s="5"/>
      <c r="H10" s="5"/>
    </row>
    <row r="11" customFormat="false" ht="30" hidden="false" customHeight="true" outlineLevel="0" collapsed="false">
      <c r="B11" s="4" t="s">
        <v>11</v>
      </c>
      <c r="C11" s="5" t="s">
        <v>12</v>
      </c>
      <c r="D11" s="5"/>
      <c r="E11" s="5"/>
      <c r="F11" s="5"/>
      <c r="G11" s="5"/>
      <c r="H11" s="5"/>
    </row>
    <row r="12" customFormat="false" ht="30" hidden="false" customHeight="true" outlineLevel="0" collapsed="false">
      <c r="B12" s="4" t="s">
        <v>13</v>
      </c>
      <c r="C12" s="5" t="s">
        <v>14</v>
      </c>
      <c r="D12" s="5"/>
      <c r="E12" s="5"/>
      <c r="F12" s="5"/>
      <c r="G12" s="5"/>
      <c r="H12" s="5"/>
    </row>
    <row r="13" customFormat="false" ht="30" hidden="false" customHeight="true" outlineLevel="0" collapsed="false">
      <c r="B13" s="4" t="s">
        <v>15</v>
      </c>
      <c r="C13" s="5" t="s">
        <v>16</v>
      </c>
      <c r="D13" s="5"/>
      <c r="E13" s="5"/>
      <c r="F13" s="5"/>
      <c r="G13" s="5"/>
      <c r="H13" s="5"/>
    </row>
    <row r="14" customFormat="false" ht="30" hidden="false" customHeight="true" outlineLevel="0" collapsed="false">
      <c r="B14" s="4" t="s">
        <v>17</v>
      </c>
      <c r="C14" s="5" t="s">
        <v>18</v>
      </c>
      <c r="D14" s="5"/>
      <c r="E14" s="5"/>
      <c r="F14" s="5"/>
      <c r="G14" s="5"/>
      <c r="H14" s="5"/>
    </row>
    <row r="16" customFormat="false" ht="15" hidden="false" customHeight="false" outlineLevel="0" collapsed="false">
      <c r="B16" s="3" t="s">
        <v>19</v>
      </c>
      <c r="C16" s="3"/>
      <c r="D16" s="3"/>
      <c r="E16" s="3"/>
      <c r="F16" s="3"/>
      <c r="G16" s="3"/>
      <c r="H16" s="3"/>
    </row>
    <row r="18" customFormat="false" ht="15" hidden="false" customHeight="true" outlineLevel="0" collapsed="false">
      <c r="B18" s="6" t="s">
        <v>20</v>
      </c>
      <c r="C18" s="6" t="s">
        <v>21</v>
      </c>
      <c r="D18" s="6" t="s">
        <v>22</v>
      </c>
      <c r="E18" s="6" t="s">
        <v>23</v>
      </c>
      <c r="F18" s="6"/>
      <c r="G18" s="6"/>
      <c r="H18" s="6"/>
    </row>
    <row r="19" customFormat="false" ht="21.75" hidden="false" customHeight="true" outlineLevel="0" collapsed="false">
      <c r="B19" s="7" t="s">
        <v>24</v>
      </c>
      <c r="C19" s="8" t="s">
        <v>25</v>
      </c>
      <c r="D19" s="8" t="s">
        <v>26</v>
      </c>
      <c r="E19" s="8" t="s">
        <v>27</v>
      </c>
      <c r="F19" s="8"/>
      <c r="G19" s="8"/>
      <c r="H19" s="8"/>
    </row>
    <row r="20" customFormat="false" ht="21.75" hidden="false" customHeight="true" outlineLevel="0" collapsed="false">
      <c r="B20" s="7" t="s">
        <v>3</v>
      </c>
      <c r="C20" s="8" t="s">
        <v>28</v>
      </c>
      <c r="D20" s="8" t="s">
        <v>29</v>
      </c>
      <c r="E20" s="8" t="s">
        <v>30</v>
      </c>
      <c r="F20" s="8"/>
      <c r="G20" s="8"/>
      <c r="H20" s="8"/>
    </row>
    <row r="21" customFormat="false" ht="21.75" hidden="false" customHeight="true" outlineLevel="0" collapsed="false">
      <c r="B21" s="9" t="s">
        <v>31</v>
      </c>
      <c r="C21" s="10" t="s">
        <v>32</v>
      </c>
      <c r="D21" s="10" t="s">
        <v>33</v>
      </c>
      <c r="E21" s="10" t="s">
        <v>34</v>
      </c>
      <c r="F21" s="10"/>
      <c r="G21" s="10"/>
      <c r="H21" s="10"/>
    </row>
    <row r="22" customFormat="false" ht="21.75" hidden="false" customHeight="true" outlineLevel="0" collapsed="false">
      <c r="B22" s="7" t="s">
        <v>5</v>
      </c>
      <c r="C22" s="8" t="s">
        <v>35</v>
      </c>
      <c r="D22" s="8" t="s">
        <v>36</v>
      </c>
      <c r="E22" s="8" t="s">
        <v>37</v>
      </c>
      <c r="F22" s="8"/>
      <c r="G22" s="8"/>
      <c r="H22" s="8"/>
    </row>
    <row r="23" customFormat="false" ht="21.75" hidden="false" customHeight="true" outlineLevel="0" collapsed="false">
      <c r="B23" s="9" t="s">
        <v>31</v>
      </c>
      <c r="C23" s="10" t="s">
        <v>38</v>
      </c>
      <c r="D23" s="10" t="s">
        <v>26</v>
      </c>
      <c r="E23" s="10" t="s">
        <v>39</v>
      </c>
      <c r="F23" s="10"/>
      <c r="G23" s="10"/>
      <c r="H23" s="10"/>
    </row>
    <row r="24" customFormat="false" ht="21.75" hidden="false" customHeight="true" outlineLevel="0" collapsed="false">
      <c r="B24" s="7" t="s">
        <v>7</v>
      </c>
      <c r="C24" s="8" t="s">
        <v>40</v>
      </c>
      <c r="D24" s="8" t="s">
        <v>41</v>
      </c>
      <c r="E24" s="8" t="s">
        <v>42</v>
      </c>
      <c r="F24" s="8"/>
      <c r="G24" s="8"/>
      <c r="H24" s="8"/>
    </row>
    <row r="25" customFormat="false" ht="21.75" hidden="false" customHeight="true" outlineLevel="0" collapsed="false">
      <c r="B25" s="9" t="s">
        <v>31</v>
      </c>
      <c r="C25" s="10" t="s">
        <v>43</v>
      </c>
      <c r="D25" s="10" t="s">
        <v>44</v>
      </c>
      <c r="E25" s="10" t="s">
        <v>45</v>
      </c>
      <c r="F25" s="10"/>
      <c r="G25" s="10"/>
      <c r="H25" s="10"/>
    </row>
    <row r="26" customFormat="false" ht="21.75" hidden="false" customHeight="true" outlineLevel="0" collapsed="false">
      <c r="B26" s="7" t="s">
        <v>9</v>
      </c>
      <c r="C26" s="8" t="s">
        <v>46</v>
      </c>
      <c r="D26" s="8" t="s">
        <v>47</v>
      </c>
      <c r="E26" s="8" t="s">
        <v>48</v>
      </c>
      <c r="F26" s="8"/>
      <c r="G26" s="8"/>
      <c r="H26" s="8"/>
    </row>
  </sheetData>
  <mergeCells count="21">
    <mergeCell ref="B2:H2"/>
    <mergeCell ref="B3:H3"/>
    <mergeCell ref="B5:H5"/>
    <mergeCell ref="C7:H7"/>
    <mergeCell ref="C8:H8"/>
    <mergeCell ref="C9:H9"/>
    <mergeCell ref="C10:H10"/>
    <mergeCell ref="C11:H11"/>
    <mergeCell ref="C12:H12"/>
    <mergeCell ref="C13:H13"/>
    <mergeCell ref="C14:H14"/>
    <mergeCell ref="B16:H16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40"/>
    <col collapsed="false" customWidth="true" hidden="false" outlineLevel="0" max="7" min="7" style="0" width="35"/>
    <col collapsed="false" customWidth="true" hidden="false" outlineLevel="0" max="8" min="8" style="0" width="15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15"/>
    <col collapsed="false" customWidth="true" hidden="false" outlineLevel="0" max="12" min="12" style="0" width="30"/>
  </cols>
  <sheetData>
    <row r="1" customFormat="false" ht="22.05" hidden="false" customHeight="fals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11" t="s">
        <v>51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customFormat="false" ht="30" hidden="false" customHeight="true" outlineLevel="0" collapsed="false">
      <c r="A4" s="6" t="s">
        <v>52</v>
      </c>
      <c r="B4" s="6" t="s">
        <v>53</v>
      </c>
      <c r="C4" s="6" t="s">
        <v>21</v>
      </c>
      <c r="D4" s="6" t="s">
        <v>54</v>
      </c>
      <c r="E4" s="6" t="s">
        <v>55</v>
      </c>
      <c r="F4" s="6" t="s">
        <v>23</v>
      </c>
      <c r="G4" s="6" t="s">
        <v>56</v>
      </c>
      <c r="H4" s="6" t="s">
        <v>57</v>
      </c>
      <c r="I4" s="6" t="s">
        <v>58</v>
      </c>
      <c r="J4" s="6" t="s">
        <v>59</v>
      </c>
      <c r="K4" s="6" t="s">
        <v>60</v>
      </c>
      <c r="L4" s="6" t="s">
        <v>61</v>
      </c>
    </row>
    <row r="5" customFormat="false" ht="54.75" hidden="false" customHeight="true" outlineLevel="0" collapsed="false">
      <c r="A5" s="12" t="s">
        <v>62</v>
      </c>
      <c r="B5" s="12" t="s">
        <v>63</v>
      </c>
      <c r="C5" s="12" t="s">
        <v>3</v>
      </c>
      <c r="D5" s="12" t="s">
        <v>64</v>
      </c>
      <c r="E5" s="12" t="s">
        <v>65</v>
      </c>
      <c r="F5" s="12" t="s">
        <v>66</v>
      </c>
      <c r="G5" s="12" t="s">
        <v>67</v>
      </c>
      <c r="H5" s="12" t="s">
        <v>68</v>
      </c>
      <c r="I5" s="12" t="s">
        <v>69</v>
      </c>
      <c r="J5" s="12" t="s">
        <v>70</v>
      </c>
      <c r="K5" s="12" t="s">
        <v>71</v>
      </c>
      <c r="L5" s="12" t="s">
        <v>72</v>
      </c>
    </row>
    <row r="6" customFormat="false" ht="54.75" hidden="false" customHeight="true" outlineLevel="0" collapsed="false">
      <c r="A6" s="12" t="s">
        <v>73</v>
      </c>
      <c r="B6" s="12" t="s">
        <v>63</v>
      </c>
      <c r="C6" s="12" t="s">
        <v>5</v>
      </c>
      <c r="D6" s="12" t="s">
        <v>74</v>
      </c>
      <c r="E6" s="12" t="s">
        <v>75</v>
      </c>
      <c r="F6" s="12" t="s">
        <v>76</v>
      </c>
      <c r="G6" s="12" t="s">
        <v>77</v>
      </c>
      <c r="H6" s="12" t="s">
        <v>78</v>
      </c>
      <c r="I6" s="12" t="s">
        <v>79</v>
      </c>
      <c r="J6" s="12" t="s">
        <v>80</v>
      </c>
      <c r="K6" s="12" t="s">
        <v>81</v>
      </c>
      <c r="L6" s="12" t="s">
        <v>82</v>
      </c>
    </row>
    <row r="7" customFormat="false" ht="54.75" hidden="false" customHeight="true" outlineLevel="0" collapsed="false">
      <c r="A7" s="12" t="s">
        <v>83</v>
      </c>
      <c r="B7" s="12" t="s">
        <v>63</v>
      </c>
      <c r="C7" s="12" t="s">
        <v>5</v>
      </c>
      <c r="D7" s="12" t="s">
        <v>84</v>
      </c>
      <c r="E7" s="12" t="s">
        <v>85</v>
      </c>
      <c r="F7" s="12" t="s">
        <v>86</v>
      </c>
      <c r="G7" s="12" t="s">
        <v>87</v>
      </c>
      <c r="H7" s="12" t="s">
        <v>88</v>
      </c>
      <c r="I7" s="12" t="s">
        <v>89</v>
      </c>
      <c r="J7" s="12" t="s">
        <v>90</v>
      </c>
      <c r="K7" s="12" t="s">
        <v>81</v>
      </c>
      <c r="L7" s="12" t="s">
        <v>91</v>
      </c>
    </row>
    <row r="8" customFormat="false" ht="37.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customFormat="false" ht="37.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customFormat="false" ht="37.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customFormat="false" ht="37.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customFormat="false" ht="37.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customFormat="false" ht="37.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customFormat="false" ht="37.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customFormat="false" ht="37.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customFormat="false" ht="37.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customFormat="false" ht="37.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customFormat="false" ht="37.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customFormat="false" ht="37.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customFormat="false" ht="37.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customFormat="false" ht="37.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customFormat="false" ht="37.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customFormat="false" ht="37.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customFormat="false" ht="37.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customFormat="false" ht="37.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customFormat="false" ht="37.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customFormat="false" ht="37.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customFormat="false" ht="37.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customFormat="false" ht="37.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customFormat="false" ht="37.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customFormat="false" ht="37.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customFormat="false" ht="37.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customFormat="false" ht="37.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customFormat="false" ht="37.5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customFormat="false" ht="37.5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customFormat="false" ht="37.5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customFormat="false" ht="37.5" hidden="false" customHeight="tru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customFormat="false" ht="37.5" hidden="false" customHeight="tru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customFormat="false" ht="37.5" hidden="false" customHeight="tru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customFormat="false" ht="37.5" hidden="false" customHeight="tru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customFormat="false" ht="37.5" hidden="false" customHeight="tru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customFormat="false" ht="37.5" hidden="false" customHeight="tru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customFormat="false" ht="37.5" hidden="false" customHeight="tru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customFormat="false" ht="37.5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customFormat="false" ht="37.5" hidden="false" customHeight="tru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customFormat="false" ht="37.5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customFormat="false" ht="37.5" hidden="false" customHeight="tru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customFormat="false" ht="37.5" hidden="false" customHeight="tru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customFormat="false" ht="37.5" hidden="false" customHeight="tru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customFormat="false" ht="37.5" hidden="false" customHeight="tru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customFormat="false" ht="37.5" hidden="false" customHeight="tru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customFormat="false" ht="37.5" hidden="false" customHeight="tru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customFormat="false" ht="37.5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customFormat="false" ht="37.5" hidden="false" customHeight="tru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customFormat="false" ht="37.5" hidden="false" customHeight="tru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customFormat="false" ht="37.5" hidden="false" customHeight="tru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customFormat="false" ht="37.5" hidden="false" customHeight="tru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customFormat="false" ht="37.5" hidden="false" customHeight="tru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customFormat="false" ht="37.5" hidden="false" customHeight="tru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customFormat="false" ht="37.5" hidden="false" customHeight="tru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customFormat="false" ht="37.5" hidden="false" customHeight="tru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customFormat="false" ht="37.5" hidden="false" customHeight="tru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customFormat="false" ht="37.5" hidden="false" customHeight="tru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customFormat="false" ht="37.5" hidden="false" customHeight="tru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customFormat="false" ht="37.5" hidden="false" customHeight="tru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customFormat="false" ht="37.5" hidden="false" customHeight="tru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 customFormat="false" ht="37.5" hidden="false" customHeight="tru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customFormat="false" ht="37.5" hidden="false" customHeight="tru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 customFormat="false" ht="37.5" hidden="false" customHeight="tru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customFormat="false" ht="37.5" hidden="false" customHeight="tru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customFormat="false" ht="37.5" hidden="false" customHeight="tru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customFormat="false" ht="37.5" hidden="false" customHeight="tru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customFormat="false" ht="37.5" hidden="false" customHeight="tru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customFormat="false" ht="37.5" hidden="false" customHeight="tru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 customFormat="false" ht="37.5" hidden="false" customHeight="tru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customFormat="false" ht="37.5" hidden="false" customHeight="tru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customFormat="false" ht="37.5" hidden="false" customHeight="tru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customFormat="false" ht="37.5" hidden="false" customHeight="tru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79" customFormat="false" ht="37.5" hidden="false" customHeight="tru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customFormat="false" ht="37.5" hidden="false" customHeight="tru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 customFormat="false" ht="37.5" hidden="false" customHeight="tru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 customFormat="false" ht="37.5" hidden="false" customHeight="tru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 customFormat="false" ht="37.5" hidden="false" customHeight="tru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 customFormat="false" ht="37.5" hidden="false" customHeight="tru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 customFormat="false" ht="37.5" hidden="false" customHeight="tru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customFormat="false" ht="37.5" hidden="false" customHeight="tru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 customFormat="false" ht="37.5" hidden="false" customHeight="tru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customFormat="false" ht="37.5" hidden="false" customHeight="tru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customFormat="false" ht="37.5" hidden="false" customHeight="tru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 customFormat="false" ht="37.5" hidden="false" customHeight="tru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customFormat="false" ht="37.5" hidden="false" customHeight="tru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customFormat="false" ht="37.5" hidden="false" customHeight="tru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 customFormat="false" ht="37.5" hidden="false" customHeight="tru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 customFormat="false" ht="37.5" hidden="false" customHeight="tru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customFormat="false" ht="37.5" hidden="false" customHeight="tru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customFormat="false" ht="37.5" hidden="false" customHeight="tru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customFormat="false" ht="37.5" hidden="false" customHeight="tru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customFormat="false" ht="37.5" hidden="false" customHeight="tru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  <row r="99" customFormat="false" ht="37.5" hidden="false" customHeight="tru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</row>
    <row r="100" customFormat="false" ht="37.5" hidden="false" customHeight="tru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  <row r="101" customFormat="false" ht="37.5" hidden="false" customHeight="tru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</row>
    <row r="102" customFormat="false" ht="37.5" hidden="false" customHeight="tru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</row>
    <row r="103" customFormat="false" ht="37.5" hidden="false" customHeight="tru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</row>
    <row r="104" customFormat="false" ht="37.5" hidden="false" customHeight="tru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</row>
    <row r="105" customFormat="false" ht="37.5" hidden="false" customHeight="tru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</row>
    <row r="106" customFormat="false" ht="37.5" hidden="false" customHeight="tru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</row>
    <row r="107" customFormat="false" ht="37.5" hidden="false" customHeight="tru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</row>
  </sheetData>
  <mergeCells count="3">
    <mergeCell ref="A1:L1"/>
    <mergeCell ref="A2:L2"/>
    <mergeCell ref="A3:L3"/>
  </mergeCells>
  <conditionalFormatting sqref="H5:H107">
    <cfRule type="cellIs" priority="2" operator="equal" aboveAverage="0" equalAverage="0" bottom="0" percent="0" rank="0" text="" dxfId="0">
      <formula>"🔴 Bloqueador"</formula>
    </cfRule>
    <cfRule type="cellIs" priority="3" operator="equal" aboveAverage="0" equalAverage="0" bottom="0" percent="0" rank="0" text="" dxfId="1">
      <formula>"🟠 Mayor"</formula>
    </cfRule>
    <cfRule type="cellIs" priority="4" operator="equal" aboveAverage="0" equalAverage="0" bottom="0" percent="0" rank="0" text="" dxfId="2">
      <formula>"🟡 Menor"</formula>
    </cfRule>
    <cfRule type="cellIs" priority="5" operator="equal" aboveAverage="0" equalAverage="0" bottom="0" percent="0" rank="0" text="" dxfId="3">
      <formula>"🟢 Nice-to-have"</formula>
    </cfRule>
  </conditionalFormatting>
  <conditionalFormatting sqref="J5:J107">
    <cfRule type="cellIs" priority="6" operator="equal" aboveAverage="0" equalAverage="0" bottom="0" percent="0" rank="0" text="" dxfId="3">
      <formula>"Verificado · fix OK"</formula>
    </cfRule>
    <cfRule type="cellIs" priority="7" operator="equal" aboveAverage="0" equalAverage="0" bottom="0" percent="0" rank="0" text="" dxfId="1">
      <formula>"En fix"</formula>
    </cfRule>
    <cfRule type="cellIs" priority="8" operator="equal" aboveAverage="0" equalAverage="0" bottom="0" percent="0" rank="0" text="" dxfId="0">
      <formula>"Verificado · fix incompleto"</formula>
    </cfRule>
  </conditionalFormatting>
  <dataValidations count="5">
    <dataValidation allowBlank="true" errorStyle="stop" operator="between" showDropDown="false" showErrorMessage="false" showInputMessage="false" sqref="C5:C107" type="list">
      <formula1>"1,2,3"</formula1>
      <formula2>0</formula2>
    </dataValidation>
    <dataValidation allowBlank="true" errorStyle="stop" operator="between" showDropDown="false" showErrorMessage="false" showInputMessage="false" sqref="D5:D107" type="list">
      <formula1>"00 · Guía,01 · Ficha,02 · Squad,03 · Contexto,04 · Métricas,05 · Nómina,06 · Contrapartes,07 · Churn,08 · Expansión,09 · Salud,10 · Stack,11 · Competencia,Transversal"</formula1>
      <formula2>0</formula2>
    </dataValidation>
    <dataValidation allowBlank="true" errorStyle="stop" operator="between" showDropDown="false" showErrorMessage="false" showInputMessage="false" sqref="E5:E107" type="list">
      <formula1>"Bug,UX,Contenido,Faltante,Inconsistencia,Performance"</formula1>
      <formula2>0</formula2>
    </dataValidation>
    <dataValidation allowBlank="true" errorStyle="stop" operator="between" showDropDown="false" showErrorMessage="false" showInputMessage="false" sqref="H5:H107" type="list">
      <formula1>"🔴 Bloqueador,🟠 Mayor,🟡 Menor,🟢 Nice-to-have"</formula1>
      <formula2>0</formula2>
    </dataValidation>
    <dataValidation allowBlank="true" errorStyle="stop" operator="between" showDropDown="false" showErrorMessage="false" showInputMessage="false" sqref="J5:J107" type="list">
      <formula1>"Abierto,En fix,Verificado · fix OK,Verificado · fix incompleto,Descartado"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5" min="4" style="0" width="10"/>
    <col collapsed="false" customWidth="true" hidden="false" outlineLevel="0" max="6" min="6" style="0" width="25"/>
    <col collapsed="false" customWidth="true" hidden="false" outlineLevel="0" max="7" min="7" style="0" width="15"/>
  </cols>
  <sheetData>
    <row r="2" customFormat="false" ht="22.05" hidden="false" customHeight="false" outlineLevel="0" collapsed="false">
      <c r="B2" s="1" t="s">
        <v>92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93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14" t="s">
        <v>94</v>
      </c>
    </row>
    <row r="6" customFormat="false" ht="15" hidden="false" customHeight="true" outlineLevel="0" collapsed="false">
      <c r="B6" s="6" t="s">
        <v>95</v>
      </c>
      <c r="C6" s="6" t="s">
        <v>96</v>
      </c>
      <c r="D6" s="6"/>
      <c r="E6" s="6"/>
      <c r="F6" s="15"/>
      <c r="G6" s="15"/>
    </row>
    <row r="7" customFormat="false" ht="45" hidden="false" customHeight="true" outlineLevel="0" collapsed="false">
      <c r="B7" s="16" t="s">
        <v>68</v>
      </c>
      <c r="C7" s="13" t="s">
        <v>97</v>
      </c>
      <c r="D7" s="13"/>
      <c r="E7" s="13"/>
      <c r="F7" s="13" t="s">
        <v>98</v>
      </c>
      <c r="G7" s="13"/>
    </row>
    <row r="8" customFormat="false" ht="45" hidden="false" customHeight="true" outlineLevel="0" collapsed="false">
      <c r="B8" s="17" t="s">
        <v>78</v>
      </c>
      <c r="C8" s="13" t="s">
        <v>99</v>
      </c>
      <c r="D8" s="13"/>
      <c r="E8" s="13"/>
      <c r="F8" s="13" t="s">
        <v>100</v>
      </c>
      <c r="G8" s="13"/>
    </row>
    <row r="9" customFormat="false" ht="45" hidden="false" customHeight="true" outlineLevel="0" collapsed="false">
      <c r="B9" s="18" t="s">
        <v>88</v>
      </c>
      <c r="C9" s="13" t="s">
        <v>101</v>
      </c>
      <c r="D9" s="13"/>
      <c r="E9" s="13"/>
      <c r="F9" s="13" t="s">
        <v>102</v>
      </c>
      <c r="G9" s="13"/>
    </row>
    <row r="10" customFormat="false" ht="45" hidden="false" customHeight="true" outlineLevel="0" collapsed="false">
      <c r="B10" s="19" t="s">
        <v>103</v>
      </c>
      <c r="C10" s="13" t="s">
        <v>104</v>
      </c>
      <c r="D10" s="13"/>
      <c r="E10" s="13"/>
      <c r="F10" s="13" t="s">
        <v>105</v>
      </c>
      <c r="G10" s="13"/>
    </row>
    <row r="13" customFormat="false" ht="15" hidden="false" customHeight="false" outlineLevel="0" collapsed="false">
      <c r="B13" s="14" t="s">
        <v>106</v>
      </c>
    </row>
    <row r="14" customFormat="false" ht="15" hidden="false" customHeight="false" outlineLevel="0" collapsed="false">
      <c r="B14" s="11" t="s">
        <v>107</v>
      </c>
      <c r="C14" s="11"/>
      <c r="D14" s="11"/>
      <c r="E14" s="11"/>
      <c r="F14" s="11"/>
      <c r="G14" s="11"/>
    </row>
    <row r="16" customFormat="false" ht="15" hidden="false" customHeight="true" outlineLevel="0" collapsed="false">
      <c r="B16" s="6" t="s">
        <v>108</v>
      </c>
      <c r="C16" s="6"/>
      <c r="D16" s="6"/>
      <c r="E16" s="6"/>
      <c r="F16" s="15"/>
      <c r="G16" s="15"/>
    </row>
    <row r="17" customFormat="false" ht="27.75" hidden="false" customHeight="true" outlineLevel="0" collapsed="false">
      <c r="B17" s="13" t="s">
        <v>109</v>
      </c>
      <c r="C17" s="13"/>
      <c r="D17" s="13"/>
      <c r="E17" s="13"/>
      <c r="F17" s="20" t="s">
        <v>24</v>
      </c>
      <c r="G17" s="20"/>
    </row>
    <row r="18" customFormat="false" ht="27.75" hidden="false" customHeight="true" outlineLevel="0" collapsed="false">
      <c r="B18" s="13" t="s">
        <v>110</v>
      </c>
      <c r="C18" s="13"/>
      <c r="D18" s="13"/>
      <c r="E18" s="13"/>
      <c r="F18" s="20" t="s">
        <v>111</v>
      </c>
      <c r="G18" s="20"/>
    </row>
    <row r="19" customFormat="false" ht="27.75" hidden="false" customHeight="true" outlineLevel="0" collapsed="false">
      <c r="B19" s="13" t="s">
        <v>112</v>
      </c>
      <c r="C19" s="13"/>
      <c r="D19" s="13"/>
      <c r="E19" s="13"/>
      <c r="F19" s="20" t="s">
        <v>113</v>
      </c>
      <c r="G19" s="20"/>
    </row>
    <row r="20" customFormat="false" ht="27.75" hidden="false" customHeight="true" outlineLevel="0" collapsed="false">
      <c r="B20" s="13" t="s">
        <v>114</v>
      </c>
      <c r="C20" s="13"/>
      <c r="D20" s="13"/>
      <c r="E20" s="13"/>
      <c r="F20" s="20" t="s">
        <v>115</v>
      </c>
      <c r="G20" s="20"/>
    </row>
    <row r="23" customFormat="false" ht="15" hidden="false" customHeight="false" outlineLevel="0" collapsed="false">
      <c r="B23" s="14" t="s">
        <v>116</v>
      </c>
    </row>
    <row r="25" customFormat="false" ht="37.5" hidden="false" customHeight="true" outlineLevel="0" collapsed="false">
      <c r="B25" s="19" t="s">
        <v>117</v>
      </c>
      <c r="C25" s="13" t="s">
        <v>118</v>
      </c>
      <c r="D25" s="13"/>
      <c r="E25" s="13"/>
      <c r="F25" s="13"/>
      <c r="G25" s="13"/>
    </row>
    <row r="26" customFormat="false" ht="37.5" hidden="false" customHeight="true" outlineLevel="0" collapsed="false">
      <c r="B26" s="17" t="s">
        <v>119</v>
      </c>
      <c r="C26" s="13" t="s">
        <v>120</v>
      </c>
      <c r="D26" s="13"/>
      <c r="E26" s="13"/>
      <c r="F26" s="13"/>
      <c r="G26" s="13"/>
    </row>
    <row r="27" customFormat="false" ht="37.5" hidden="false" customHeight="true" outlineLevel="0" collapsed="false">
      <c r="B27" s="16" t="s">
        <v>121</v>
      </c>
      <c r="C27" s="13" t="s">
        <v>122</v>
      </c>
      <c r="D27" s="13"/>
      <c r="E27" s="13"/>
      <c r="F27" s="13"/>
      <c r="G27" s="13"/>
    </row>
    <row r="30" customFormat="false" ht="34.5" hidden="false" customHeight="true" outlineLevel="0" collapsed="false">
      <c r="B30" s="21" t="s">
        <v>123</v>
      </c>
      <c r="C30" s="21"/>
      <c r="D30" s="21"/>
      <c r="E30" s="21"/>
      <c r="F30" s="21"/>
      <c r="G30" s="21"/>
    </row>
  </sheetData>
  <mergeCells count="27">
    <mergeCell ref="B2:G2"/>
    <mergeCell ref="B3:G3"/>
    <mergeCell ref="C6:E6"/>
    <mergeCell ref="F6:G6"/>
    <mergeCell ref="C7:E7"/>
    <mergeCell ref="F7:G7"/>
    <mergeCell ref="C8:E8"/>
    <mergeCell ref="F8:G8"/>
    <mergeCell ref="C9:E9"/>
    <mergeCell ref="F9:G9"/>
    <mergeCell ref="C10:E10"/>
    <mergeCell ref="F10:G10"/>
    <mergeCell ref="B14:G14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C25:G25"/>
    <mergeCell ref="C26:G26"/>
    <mergeCell ref="C27:G27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8" min="7" style="0" width="12"/>
  </cols>
  <sheetData>
    <row r="2" customFormat="false" ht="22.05" hidden="false" customHeight="false" outlineLevel="0" collapsed="false">
      <c r="B2" s="1" t="s">
        <v>124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125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14" t="s">
        <v>126</v>
      </c>
    </row>
    <row r="6" customFormat="false" ht="19.7" hidden="false" customHeight="false" outlineLevel="0" collapsed="false">
      <c r="B6" s="22" t="s">
        <v>127</v>
      </c>
      <c r="C6" s="23" t="n">
        <f aca="false">COUNTA('01 · Hallazgos'!A8:A107)</f>
        <v>0</v>
      </c>
    </row>
    <row r="8" customFormat="false" ht="15" hidden="false" customHeight="false" outlineLevel="0" collapsed="false">
      <c r="B8" s="14" t="s">
        <v>128</v>
      </c>
      <c r="E8" s="14" t="s">
        <v>129</v>
      </c>
    </row>
    <row r="10" customFormat="false" ht="27.75" hidden="false" customHeight="true" outlineLevel="0" collapsed="false">
      <c r="B10" s="24" t="s">
        <v>68</v>
      </c>
      <c r="C10" s="25" t="n">
        <f aca="false">COUNTIF('01 · Hallazgos'!H8:H107,"🔴 Bloqueador")</f>
        <v>0</v>
      </c>
      <c r="E10" s="6" t="s">
        <v>130</v>
      </c>
      <c r="F10" s="6" t="s">
        <v>131</v>
      </c>
    </row>
    <row r="11" customFormat="false" ht="21.75" hidden="false" customHeight="true" outlineLevel="0" collapsed="false">
      <c r="B11" s="26" t="s">
        <v>78</v>
      </c>
      <c r="C11" s="27" t="n">
        <f aca="false">COUNTIF('01 · Hallazgos'!H8:H107,"🟠 Mayor")</f>
        <v>0</v>
      </c>
      <c r="E11" s="28" t="s">
        <v>132</v>
      </c>
      <c r="F11" s="29" t="n">
        <f aca="false">IF(E11="",0,COUNTIF('01 · Hallazgos'!B8:B107,"*"&amp;E11&amp;"*"))</f>
        <v>0</v>
      </c>
    </row>
    <row r="12" customFormat="false" ht="21.75" hidden="false" customHeight="true" outlineLevel="0" collapsed="false">
      <c r="B12" s="30" t="s">
        <v>88</v>
      </c>
      <c r="C12" s="31" t="n">
        <f aca="false">COUNTIF('01 · Hallazgos'!H8:H107,"🟡 Menor")</f>
        <v>0</v>
      </c>
      <c r="E12" s="28" t="s">
        <v>133</v>
      </c>
      <c r="F12" s="29" t="n">
        <f aca="false">IF(E12="",0,COUNTIF('01 · Hallazgos'!B8:B107,"*"&amp;E12&amp;"*"))</f>
        <v>0</v>
      </c>
    </row>
    <row r="13" customFormat="false" ht="21.75" hidden="false" customHeight="true" outlineLevel="0" collapsed="false">
      <c r="B13" s="32" t="s">
        <v>103</v>
      </c>
      <c r="C13" s="33" t="n">
        <f aca="false">COUNTIF('01 · Hallazgos'!H8:H107,"🟢 Nice-to-have")</f>
        <v>0</v>
      </c>
      <c r="E13" s="28" t="s">
        <v>134</v>
      </c>
      <c r="F13" s="29" t="n">
        <f aca="false">IF(E13="",0,COUNTIF('01 · Hallazgos'!B8:B107,"*"&amp;E13&amp;"*"))</f>
        <v>0</v>
      </c>
    </row>
    <row r="14" customFormat="false" ht="21.75" hidden="false" customHeight="true" outlineLevel="0" collapsed="false">
      <c r="E14" s="28" t="s">
        <v>135</v>
      </c>
      <c r="F14" s="29" t="n">
        <f aca="false">IF(E14="",0,COUNTIF('01 · Hallazgos'!B8:B107,"*"&amp;E14&amp;"*"))</f>
        <v>0</v>
      </c>
    </row>
    <row r="15" customFormat="false" ht="21.75" hidden="false" customHeight="true" outlineLevel="0" collapsed="false">
      <c r="B15" s="14" t="s">
        <v>136</v>
      </c>
      <c r="E15" s="28" t="s">
        <v>137</v>
      </c>
      <c r="F15" s="29" t="n">
        <f aca="false">IF(E15="",0,COUNTIF('01 · Hallazgos'!B8:B107,"*"&amp;E15&amp;"*"))</f>
        <v>0</v>
      </c>
    </row>
    <row r="16" customFormat="false" ht="21.75" hidden="false" customHeight="true" outlineLevel="0" collapsed="false">
      <c r="E16" s="28" t="s">
        <v>138</v>
      </c>
      <c r="F16" s="29" t="n">
        <f aca="false">IF(E16="",0,COUNTIF('01 · Hallazgos'!B8:B107,"*"&amp;E16&amp;"*"))</f>
        <v>0</v>
      </c>
    </row>
    <row r="17" customFormat="false" ht="27.75" hidden="false" customHeight="true" outlineLevel="0" collapsed="false">
      <c r="B17" s="34" t="s">
        <v>70</v>
      </c>
      <c r="C17" s="35" t="n">
        <f aca="false">COUNTIF('01 · Hallazgos'!J8:J107,"Abierto")</f>
        <v>0</v>
      </c>
    </row>
    <row r="18" customFormat="false" ht="27.75" hidden="false" customHeight="true" outlineLevel="0" collapsed="false">
      <c r="B18" s="26" t="s">
        <v>80</v>
      </c>
      <c r="C18" s="27" t="n">
        <f aca="false">COUNTIF('01 · Hallazgos'!J8:J107,"En fix")</f>
        <v>0</v>
      </c>
    </row>
    <row r="19" customFormat="false" ht="27.75" hidden="false" customHeight="true" outlineLevel="0" collapsed="false">
      <c r="B19" s="32" t="s">
        <v>90</v>
      </c>
      <c r="C19" s="33" t="n">
        <f aca="false">COUNTIF('01 · Hallazgos'!J8:J107,"Verificado · fix OK")</f>
        <v>0</v>
      </c>
    </row>
    <row r="20" customFormat="false" ht="27.75" hidden="false" customHeight="true" outlineLevel="0" collapsed="false">
      <c r="B20" s="24" t="s">
        <v>139</v>
      </c>
      <c r="C20" s="25" t="n">
        <f aca="false">COUNTIF('01 · Hallazgos'!J8:J107,"Verificado · fix incompleto")</f>
        <v>0</v>
      </c>
    </row>
    <row r="21" customFormat="false" ht="27.75" hidden="false" customHeight="true" outlineLevel="0" collapsed="false">
      <c r="B21" s="36" t="s">
        <v>140</v>
      </c>
      <c r="C21" s="37" t="n">
        <f aca="false">COUNTIF('01 · Hallazgos'!J8:J107,"Descartado")</f>
        <v>0</v>
      </c>
    </row>
    <row r="23" customFormat="false" ht="15" hidden="false" customHeight="false" outlineLevel="0" collapsed="false">
      <c r="B23" s="14" t="s">
        <v>141</v>
      </c>
    </row>
    <row r="25" customFormat="false" ht="19.5" hidden="false" customHeight="true" outlineLevel="0" collapsed="false">
      <c r="B25" s="8" t="s">
        <v>142</v>
      </c>
      <c r="C25" s="29" t="n">
        <f aca="false">COUNTIF('01 · Hallazgos'!D8:D107,"00 · Guía")</f>
        <v>0</v>
      </c>
    </row>
    <row r="26" customFormat="false" ht="19.5" hidden="false" customHeight="true" outlineLevel="0" collapsed="false">
      <c r="B26" s="8" t="s">
        <v>143</v>
      </c>
      <c r="C26" s="29" t="n">
        <f aca="false">COUNTIF('01 · Hallazgos'!D8:D107,"01 · Ficha")</f>
        <v>0</v>
      </c>
    </row>
    <row r="27" customFormat="false" ht="19.5" hidden="false" customHeight="true" outlineLevel="0" collapsed="false">
      <c r="B27" s="8" t="s">
        <v>144</v>
      </c>
      <c r="C27" s="29" t="n">
        <f aca="false">COUNTIF('01 · Hallazgos'!D8:D107,"02 · Squad")</f>
        <v>0</v>
      </c>
    </row>
    <row r="28" customFormat="false" ht="19.5" hidden="false" customHeight="true" outlineLevel="0" collapsed="false">
      <c r="B28" s="8" t="s">
        <v>145</v>
      </c>
      <c r="C28" s="29" t="n">
        <f aca="false">COUNTIF('01 · Hallazgos'!D8:D107,"03 · Contexto")</f>
        <v>0</v>
      </c>
    </row>
    <row r="29" customFormat="false" ht="19.5" hidden="false" customHeight="true" outlineLevel="0" collapsed="false">
      <c r="B29" s="8" t="s">
        <v>74</v>
      </c>
      <c r="C29" s="29" t="n">
        <f aca="false">COUNTIF('01 · Hallazgos'!D8:D107,"04 · Métricas")</f>
        <v>0</v>
      </c>
    </row>
    <row r="30" customFormat="false" ht="19.5" hidden="false" customHeight="true" outlineLevel="0" collapsed="false">
      <c r="B30" s="8" t="s">
        <v>84</v>
      </c>
      <c r="C30" s="29" t="n">
        <f aca="false">COUNTIF('01 · Hallazgos'!D8:D107,"05 · Nómina")</f>
        <v>0</v>
      </c>
    </row>
    <row r="31" customFormat="false" ht="19.5" hidden="false" customHeight="true" outlineLevel="0" collapsed="false">
      <c r="B31" s="8" t="s">
        <v>146</v>
      </c>
      <c r="C31" s="29" t="n">
        <f aca="false">COUNTIF('01 · Hallazgos'!D8:D107,"06 · Contrapartes")</f>
        <v>0</v>
      </c>
    </row>
    <row r="32" customFormat="false" ht="19.5" hidden="false" customHeight="true" outlineLevel="0" collapsed="false">
      <c r="B32" s="8" t="s">
        <v>147</v>
      </c>
      <c r="C32" s="29" t="n">
        <f aca="false">COUNTIF('01 · Hallazgos'!D8:D107,"07 · Churn")</f>
        <v>0</v>
      </c>
    </row>
    <row r="33" customFormat="false" ht="19.5" hidden="false" customHeight="true" outlineLevel="0" collapsed="false">
      <c r="B33" s="8" t="s">
        <v>148</v>
      </c>
      <c r="C33" s="29" t="n">
        <f aca="false">COUNTIF('01 · Hallazgos'!D8:D107,"08 · Expansión")</f>
        <v>0</v>
      </c>
    </row>
    <row r="34" customFormat="false" ht="19.5" hidden="false" customHeight="true" outlineLevel="0" collapsed="false">
      <c r="B34" s="8" t="s">
        <v>149</v>
      </c>
      <c r="C34" s="29" t="n">
        <f aca="false">COUNTIF('01 · Hallazgos'!D8:D107,"09 · Salud")</f>
        <v>0</v>
      </c>
    </row>
    <row r="35" customFormat="false" ht="19.5" hidden="false" customHeight="true" outlineLevel="0" collapsed="false">
      <c r="B35" s="8" t="s">
        <v>150</v>
      </c>
      <c r="C35" s="29" t="n">
        <f aca="false">COUNTIF('01 · Hallazgos'!D8:D107,"10 · Stack")</f>
        <v>0</v>
      </c>
    </row>
    <row r="36" customFormat="false" ht="19.5" hidden="false" customHeight="true" outlineLevel="0" collapsed="false">
      <c r="B36" s="8" t="s">
        <v>151</v>
      </c>
      <c r="C36" s="29" t="n">
        <f aca="false">COUNTIF('01 · Hallazgos'!D8:D107,"11 · Competencia")</f>
        <v>0</v>
      </c>
    </row>
    <row r="37" customFormat="false" ht="19.5" hidden="false" customHeight="true" outlineLevel="0" collapsed="false">
      <c r="B37" s="8" t="s">
        <v>64</v>
      </c>
      <c r="C37" s="29" t="n">
        <f aca="false">COUNTIF('01 · Hallazgos'!D8:D107,"Transversal")</f>
        <v>0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7" min="4" style="0" width="15"/>
  </cols>
  <sheetData>
    <row r="2" customFormat="false" ht="22.05" hidden="false" customHeight="false" outlineLevel="0" collapsed="false">
      <c r="B2" s="1" t="s">
        <v>152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153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14" t="s">
        <v>154</v>
      </c>
    </row>
    <row r="7" customFormat="false" ht="24.75" hidden="false" customHeight="true" outlineLevel="0" collapsed="false">
      <c r="B7" s="6" t="s">
        <v>53</v>
      </c>
      <c r="C7" s="6" t="s">
        <v>155</v>
      </c>
      <c r="D7" s="6" t="s">
        <v>156</v>
      </c>
      <c r="E7" s="6"/>
      <c r="F7" s="6"/>
      <c r="G7" s="6"/>
    </row>
    <row r="8" customFormat="false" ht="30" hidden="false" customHeight="true" outlineLevel="0" collapsed="false">
      <c r="B8" s="8"/>
      <c r="C8" s="20"/>
      <c r="D8" s="13"/>
      <c r="E8" s="13"/>
      <c r="F8" s="13"/>
      <c r="G8" s="13"/>
    </row>
    <row r="9" customFormat="false" ht="30" hidden="false" customHeight="true" outlineLevel="0" collapsed="false">
      <c r="B9" s="8"/>
      <c r="C9" s="20"/>
      <c r="D9" s="13"/>
      <c r="E9" s="13"/>
      <c r="F9" s="13"/>
      <c r="G9" s="13"/>
    </row>
    <row r="10" customFormat="false" ht="30" hidden="false" customHeight="true" outlineLevel="0" collapsed="false">
      <c r="B10" s="8"/>
      <c r="C10" s="20"/>
      <c r="D10" s="13"/>
      <c r="E10" s="13"/>
      <c r="F10" s="13"/>
      <c r="G10" s="13"/>
    </row>
    <row r="11" customFormat="false" ht="30" hidden="false" customHeight="true" outlineLevel="0" collapsed="false">
      <c r="B11" s="8"/>
      <c r="C11" s="20"/>
      <c r="D11" s="13"/>
      <c r="E11" s="13"/>
      <c r="F11" s="13"/>
      <c r="G11" s="13"/>
    </row>
    <row r="12" customFormat="false" ht="30" hidden="false" customHeight="true" outlineLevel="0" collapsed="false">
      <c r="B12" s="8"/>
      <c r="C12" s="20"/>
      <c r="D12" s="13"/>
      <c r="E12" s="13"/>
      <c r="F12" s="13"/>
      <c r="G12" s="13"/>
    </row>
    <row r="13" customFormat="false" ht="30" hidden="false" customHeight="true" outlineLevel="0" collapsed="false">
      <c r="B13" s="8"/>
      <c r="C13" s="20"/>
      <c r="D13" s="13"/>
      <c r="E13" s="13"/>
      <c r="F13" s="13"/>
      <c r="G13" s="13"/>
    </row>
    <row r="16" customFormat="false" ht="15" hidden="false" customHeight="false" outlineLevel="0" collapsed="false">
      <c r="B16" s="14" t="s">
        <v>157</v>
      </c>
    </row>
    <row r="17" customFormat="false" ht="15" hidden="false" customHeight="false" outlineLevel="0" collapsed="false">
      <c r="B17" s="11" t="s">
        <v>158</v>
      </c>
      <c r="C17" s="11"/>
      <c r="D17" s="11"/>
      <c r="E17" s="11"/>
      <c r="F17" s="11"/>
      <c r="G17" s="11"/>
    </row>
    <row r="19" customFormat="false" ht="27.75" hidden="false" customHeight="true" outlineLevel="0" collapsed="false">
      <c r="B19" s="38" t="s">
        <v>159</v>
      </c>
      <c r="C19" s="8"/>
      <c r="D19" s="8"/>
      <c r="E19" s="8"/>
      <c r="F19" s="8"/>
      <c r="G19" s="8"/>
    </row>
    <row r="20" customFormat="false" ht="27.75" hidden="false" customHeight="true" outlineLevel="0" collapsed="false">
      <c r="B20" s="38" t="s">
        <v>160</v>
      </c>
      <c r="C20" s="8"/>
      <c r="D20" s="8"/>
      <c r="E20" s="8"/>
      <c r="F20" s="8"/>
      <c r="G20" s="8"/>
    </row>
    <row r="21" customFormat="false" ht="27.75" hidden="false" customHeight="true" outlineLevel="0" collapsed="false">
      <c r="B21" s="38" t="s">
        <v>161</v>
      </c>
      <c r="C21" s="8"/>
      <c r="D21" s="8"/>
      <c r="E21" s="8"/>
      <c r="F21" s="8"/>
      <c r="G21" s="8"/>
    </row>
    <row r="22" customFormat="false" ht="27.75" hidden="false" customHeight="true" outlineLevel="0" collapsed="false">
      <c r="B22" s="38" t="s">
        <v>162</v>
      </c>
      <c r="C22" s="8"/>
      <c r="D22" s="8"/>
      <c r="E22" s="8"/>
      <c r="F22" s="8"/>
      <c r="G22" s="8"/>
    </row>
  </sheetData>
  <mergeCells count="14">
    <mergeCell ref="B2:G2"/>
    <mergeCell ref="B3:G3"/>
    <mergeCell ref="D7:G7"/>
    <mergeCell ref="D8:G8"/>
    <mergeCell ref="D9:G9"/>
    <mergeCell ref="D10:G10"/>
    <mergeCell ref="D11:G11"/>
    <mergeCell ref="D12:G12"/>
    <mergeCell ref="D13:G13"/>
    <mergeCell ref="B17:G17"/>
    <mergeCell ref="C19:G19"/>
    <mergeCell ref="C20:G20"/>
    <mergeCell ref="C21:G21"/>
    <mergeCell ref="C22:G22"/>
  </mergeCells>
  <conditionalFormatting sqref="C8:C13">
    <cfRule type="cellIs" priority="2" operator="equal" aboveAverage="0" equalAverage="0" bottom="0" percent="0" rank="0" text="" dxfId="3">
      <formula>"✅ GO"</formula>
    </cfRule>
    <cfRule type="cellIs" priority="3" operator="equal" aboveAverage="0" equalAverage="0" bottom="0" percent="0" rank="0" text="" dxfId="1">
      <formula>"🟡 GO CONDICIONAL"</formula>
    </cfRule>
    <cfRule type="cellIs" priority="4" operator="equal" aboveAverage="0" equalAverage="0" bottom="0" percent="0" rank="0" text="" dxfId="0">
      <formula>"🔴 NO-GO"</formula>
    </cfRule>
  </conditionalFormatting>
  <dataValidations count="1">
    <dataValidation allowBlank="true" errorStyle="stop" operator="between" showDropDown="false" showErrorMessage="false" showInputMessage="false" sqref="C8:C13" type="list">
      <formula1>"✅ GO,🟡 GO CONDICIONAL,🔴 NO-GO"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6" min="5" style="0" width="15"/>
    <col collapsed="false" customWidth="true" hidden="false" outlineLevel="0" max="7" min="7" style="0" width="12"/>
    <col collapsed="false" customWidth="true" hidden="false" outlineLevel="0" max="8" min="8" style="0" width="25"/>
  </cols>
  <sheetData>
    <row r="1" customFormat="false" ht="22.05" hidden="false" customHeight="false" outlineLevel="0" collapsed="false">
      <c r="A1" s="1" t="s">
        <v>163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164</v>
      </c>
      <c r="B2" s="2"/>
      <c r="C2" s="2"/>
      <c r="D2" s="2"/>
      <c r="E2" s="2"/>
      <c r="F2" s="2"/>
      <c r="G2" s="2"/>
      <c r="H2" s="2"/>
    </row>
    <row r="4" customFormat="false" ht="24.75" hidden="false" customHeight="true" outlineLevel="0" collapsed="false">
      <c r="A4" s="6" t="s">
        <v>165</v>
      </c>
      <c r="B4" s="6" t="s">
        <v>166</v>
      </c>
      <c r="C4" s="6" t="s">
        <v>23</v>
      </c>
      <c r="D4" s="6" t="s">
        <v>57</v>
      </c>
      <c r="E4" s="6" t="s">
        <v>167</v>
      </c>
      <c r="F4" s="6" t="s">
        <v>168</v>
      </c>
      <c r="G4" s="6" t="s">
        <v>169</v>
      </c>
      <c r="H4" s="6" t="s">
        <v>61</v>
      </c>
    </row>
    <row r="5" customFormat="false" ht="21.75" hidden="false" customHeight="true" outlineLevel="0" collapsed="false">
      <c r="A5" s="39" t="s">
        <v>170</v>
      </c>
      <c r="B5" s="40" t="s">
        <v>171</v>
      </c>
      <c r="C5" s="40"/>
      <c r="D5" s="40"/>
      <c r="E5" s="40"/>
      <c r="F5" s="40"/>
      <c r="G5" s="40"/>
      <c r="H5" s="40"/>
    </row>
    <row r="6" customFormat="false" ht="34.5" hidden="false" customHeight="true" outlineLevel="0" collapsed="false">
      <c r="A6" s="13"/>
      <c r="B6" s="13"/>
      <c r="C6" s="13"/>
      <c r="D6" s="13"/>
      <c r="E6" s="13"/>
      <c r="F6" s="13"/>
      <c r="G6" s="13"/>
      <c r="H6" s="13"/>
    </row>
    <row r="7" customFormat="false" ht="34.5" hidden="false" customHeight="true" outlineLevel="0" collapsed="false">
      <c r="A7" s="13"/>
      <c r="B7" s="13"/>
      <c r="C7" s="13"/>
      <c r="D7" s="13"/>
      <c r="E7" s="13"/>
      <c r="F7" s="13"/>
      <c r="G7" s="13"/>
      <c r="H7" s="13"/>
    </row>
    <row r="8" customFormat="false" ht="34.5" hidden="false" customHeight="true" outlineLevel="0" collapsed="false">
      <c r="A8" s="13"/>
      <c r="B8" s="13"/>
      <c r="C8" s="13"/>
      <c r="D8" s="13"/>
      <c r="E8" s="13"/>
      <c r="F8" s="13"/>
      <c r="G8" s="13"/>
      <c r="H8" s="13"/>
    </row>
    <row r="9" customFormat="false" ht="34.5" hidden="false" customHeight="true" outlineLevel="0" collapsed="false">
      <c r="A9" s="13"/>
      <c r="B9" s="13"/>
      <c r="C9" s="13"/>
      <c r="D9" s="13"/>
      <c r="E9" s="13"/>
      <c r="F9" s="13"/>
      <c r="G9" s="13"/>
      <c r="H9" s="13"/>
    </row>
    <row r="10" customFormat="false" ht="21.75" hidden="false" customHeight="true" outlineLevel="0" collapsed="false">
      <c r="A10" s="41" t="s">
        <v>172</v>
      </c>
      <c r="B10" s="42" t="s">
        <v>173</v>
      </c>
      <c r="C10" s="42"/>
      <c r="D10" s="42"/>
      <c r="E10" s="42"/>
      <c r="F10" s="42"/>
      <c r="G10" s="42"/>
      <c r="H10" s="42"/>
    </row>
    <row r="11" customFormat="false" ht="34.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</row>
    <row r="12" customFormat="false" ht="34.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</row>
    <row r="13" customFormat="false" ht="34.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</row>
    <row r="14" customFormat="false" ht="34.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</row>
    <row r="15" customFormat="false" ht="21.75" hidden="false" customHeight="true" outlineLevel="0" collapsed="false">
      <c r="A15" s="43" t="s">
        <v>174</v>
      </c>
      <c r="B15" s="44" t="s">
        <v>175</v>
      </c>
      <c r="C15" s="44"/>
      <c r="D15" s="44"/>
      <c r="E15" s="44"/>
      <c r="F15" s="44"/>
      <c r="G15" s="44"/>
      <c r="H15" s="44"/>
    </row>
    <row r="16" customFormat="false" ht="34.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</row>
    <row r="17" customFormat="false" ht="34.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</row>
    <row r="18" customFormat="false" ht="34.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</row>
    <row r="19" customFormat="false" ht="34.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</row>
  </sheetData>
  <mergeCells count="5">
    <mergeCell ref="A1:H1"/>
    <mergeCell ref="A2:H2"/>
    <mergeCell ref="B5:H5"/>
    <mergeCell ref="B10:H10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2026-04-24T16:49:05Z</dcterms:created>
  <dc:creator>openpyxl</dc:creator>
  <dc:description/>
  <dc:language>en-US</dc:language>
  <cp:lastModifiedBy/>
  <dcterms:modified xsi:type="dcterms:W3CDTF">2026-04-24T16:49:05Z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